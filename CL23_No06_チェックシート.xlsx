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50FCA96-13C0-4FD7-A49C-AAD6DA6D0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06チェッ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2" i="1"/>
  <c r="D11" i="1"/>
  <c r="D3" i="1"/>
  <c r="D4" i="1"/>
  <c r="D5" i="1"/>
  <c r="D6" i="1"/>
  <c r="D7" i="1"/>
  <c r="D8" i="1"/>
  <c r="D13" i="1"/>
  <c r="D9" i="1"/>
  <c r="D10" i="1"/>
  <c r="D16" i="1"/>
  <c r="D2" i="1"/>
  <c r="C17" i="1" l="1"/>
  <c r="C18" i="1" s="1"/>
</calcChain>
</file>

<file path=xl/sharedStrings.xml><?xml version="1.0" encoding="utf-8"?>
<sst xmlns="http://schemas.openxmlformats.org/spreadsheetml/2006/main" count="53" uniqueCount="40">
  <si>
    <t>No</t>
    <phoneticPr fontId="1"/>
  </si>
  <si>
    <t>Score</t>
    <phoneticPr fontId="1"/>
  </si>
  <si>
    <t>Check</t>
    <phoneticPr fontId="1"/>
  </si>
  <si>
    <t>Detail</t>
    <phoneticPr fontId="1"/>
  </si>
  <si>
    <t>1C</t>
    <phoneticPr fontId="1"/>
  </si>
  <si>
    <t>1B</t>
    <phoneticPr fontId="1"/>
  </si>
  <si>
    <t>1A</t>
    <phoneticPr fontId="1"/>
  </si>
  <si>
    <t>2C</t>
    <phoneticPr fontId="1"/>
  </si>
  <si>
    <t>2B</t>
    <phoneticPr fontId="1"/>
  </si>
  <si>
    <t>2A</t>
    <phoneticPr fontId="1"/>
  </si>
  <si>
    <t>3C</t>
    <phoneticPr fontId="1"/>
  </si>
  <si>
    <t>3B</t>
    <phoneticPr fontId="1"/>
  </si>
  <si>
    <t>3A</t>
    <phoneticPr fontId="1"/>
  </si>
  <si>
    <t>4C</t>
    <phoneticPr fontId="1"/>
  </si>
  <si>
    <t>4B</t>
    <phoneticPr fontId="1"/>
  </si>
  <si>
    <t>4A</t>
    <phoneticPr fontId="1"/>
  </si>
  <si>
    <t>5C</t>
    <phoneticPr fontId="1"/>
  </si>
  <si>
    <t>5B</t>
    <phoneticPr fontId="1"/>
  </si>
  <si>
    <t>5A</t>
    <phoneticPr fontId="1"/>
  </si>
  <si>
    <t>クラス記号</t>
    <rPh sb="3" eb="5">
      <t>キゴウ</t>
    </rPh>
    <phoneticPr fontId="1"/>
  </si>
  <si>
    <t>出席番号</t>
    <rPh sb="0" eb="4">
      <t>シュッセキバンゴウ</t>
    </rPh>
    <phoneticPr fontId="1"/>
  </si>
  <si>
    <t>氏名</t>
    <rPh sb="0" eb="2">
      <t>シメイ</t>
    </rPh>
    <phoneticPr fontId="1"/>
  </si>
  <si>
    <t>ゲームキャラがクラス化されている</t>
    <phoneticPr fontId="1"/>
  </si>
  <si>
    <t>UIがクラス化されている</t>
    <phoneticPr fontId="1"/>
  </si>
  <si>
    <t>システム部分がクラス化されている</t>
    <phoneticPr fontId="1"/>
  </si>
  <si>
    <t>継承がされている</t>
    <rPh sb="0" eb="2">
      <t>ケイショウ</t>
    </rPh>
    <phoneticPr fontId="1"/>
  </si>
  <si>
    <t>抽象クラスが存在する</t>
    <phoneticPr fontId="1"/>
  </si>
  <si>
    <t>プログラムのコメントが多い</t>
    <phoneticPr fontId="1"/>
  </si>
  <si>
    <t>プログラムが見やすい</t>
    <phoneticPr fontId="1"/>
  </si>
  <si>
    <t>publicなメンバ変数が存在する</t>
    <phoneticPr fontId="1"/>
  </si>
  <si>
    <t>複数の(キャラに関する)クラスが作られている</t>
    <rPh sb="8" eb="9">
      <t>カン</t>
    </rPh>
    <phoneticPr fontId="1"/>
  </si>
  <si>
    <t>ポリモーフィズムが実現できている</t>
    <rPh sb="9" eb="11">
      <t>ジツゲン</t>
    </rPh>
    <phoneticPr fontId="1"/>
  </si>
  <si>
    <t>クラス一覧をまとめたファイルを作成する（.txt or .xlsx）</t>
    <rPh sb="15" eb="17">
      <t>サクセイ</t>
    </rPh>
    <phoneticPr fontId="1"/>
  </si>
  <si>
    <t>ゲームが面白い</t>
    <rPh sb="4" eb="6">
      <t>オモシロ</t>
    </rPh>
    <phoneticPr fontId="1"/>
  </si>
  <si>
    <t>ゲームの完成度が高い</t>
    <rPh sb="4" eb="7">
      <t>カンセイド</t>
    </rPh>
    <rPh sb="8" eb="9">
      <t>タカ</t>
    </rPh>
    <phoneticPr fontId="1"/>
  </si>
  <si>
    <t>メモリリーク</t>
    <phoneticPr fontId="1"/>
  </si>
  <si>
    <t>提出物不備他不備</t>
    <rPh sb="0" eb="3">
      <t>テイシュツブツ</t>
    </rPh>
    <rPh sb="3" eb="5">
      <t>フビ</t>
    </rPh>
    <rPh sb="5" eb="6">
      <t>ホカ</t>
    </rPh>
    <rPh sb="6" eb="8">
      <t>フビ</t>
    </rPh>
    <phoneticPr fontId="1"/>
  </si>
  <si>
    <t>○</t>
  </si>
  <si>
    <t>AT12A192</t>
    <phoneticPr fontId="1"/>
  </si>
  <si>
    <t>寺田晴</t>
    <rPh sb="0" eb="3">
      <t>テラダハル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</si>
</sst>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11" sqref="E11"/>
    </sheetView>
  </sheetViews>
  <sheetFormatPr defaultRowHeight="18" x14ac:dyDescent="0.45"/>
  <cols>
    <col min="1" max="1" width="3.8984375" bestFit="1" customWidth="1"/>
    <col min="2" max="2" width="6.19921875" bestFit="1" customWidth="1"/>
    <col min="3" max="3" width="6.8984375" customWidth="1"/>
    <col min="4" max="4" width="6.3984375" hidden="1" customWidth="1"/>
    <col min="5" max="5" width="51.69921875" customWidth="1"/>
    <col min="7" max="8" width="0" hidden="1" customWidth="1"/>
  </cols>
  <sheetData>
    <row r="1" spans="1:8" x14ac:dyDescent="0.45">
      <c r="A1" t="s">
        <v>0</v>
      </c>
      <c r="B1" t="s">
        <v>1</v>
      </c>
      <c r="C1" t="s">
        <v>2</v>
      </c>
      <c r="E1" t="s">
        <v>3</v>
      </c>
    </row>
    <row r="2" spans="1:8" x14ac:dyDescent="0.45">
      <c r="A2">
        <v>1</v>
      </c>
      <c r="B2">
        <v>3</v>
      </c>
      <c r="C2" s="2" t="s">
        <v>37</v>
      </c>
      <c r="D2">
        <f>IF(C2&lt;&gt;"",B2,0)</f>
        <v>3</v>
      </c>
      <c r="E2" t="s">
        <v>22</v>
      </c>
      <c r="G2">
        <v>0</v>
      </c>
      <c r="H2" t="s">
        <v>4</v>
      </c>
    </row>
    <row r="3" spans="1:8" x14ac:dyDescent="0.45">
      <c r="A3">
        <v>2</v>
      </c>
      <c r="B3">
        <v>1</v>
      </c>
      <c r="C3" s="2" t="s">
        <v>37</v>
      </c>
      <c r="D3">
        <f t="shared" ref="D3:D16" si="0">IF(C3&lt;&gt;"",B3,0)</f>
        <v>1</v>
      </c>
      <c r="E3" t="s">
        <v>30</v>
      </c>
      <c r="G3">
        <v>1</v>
      </c>
      <c r="H3" t="s">
        <v>5</v>
      </c>
    </row>
    <row r="4" spans="1:8" x14ac:dyDescent="0.45">
      <c r="A4">
        <v>3</v>
      </c>
      <c r="B4">
        <v>1</v>
      </c>
      <c r="C4" s="2" t="s">
        <v>37</v>
      </c>
      <c r="D4">
        <f t="shared" si="0"/>
        <v>1</v>
      </c>
      <c r="E4" t="s">
        <v>23</v>
      </c>
      <c r="G4">
        <v>2</v>
      </c>
      <c r="H4" t="s">
        <v>6</v>
      </c>
    </row>
    <row r="5" spans="1:8" x14ac:dyDescent="0.45">
      <c r="A5">
        <v>4</v>
      </c>
      <c r="B5">
        <v>1</v>
      </c>
      <c r="C5" s="2" t="s">
        <v>37</v>
      </c>
      <c r="D5">
        <f t="shared" si="0"/>
        <v>1</v>
      </c>
      <c r="E5" t="s">
        <v>24</v>
      </c>
      <c r="G5">
        <v>3</v>
      </c>
      <c r="H5" t="s">
        <v>7</v>
      </c>
    </row>
    <row r="6" spans="1:8" x14ac:dyDescent="0.45">
      <c r="A6">
        <v>5</v>
      </c>
      <c r="B6">
        <v>2</v>
      </c>
      <c r="C6" s="2" t="s">
        <v>37</v>
      </c>
      <c r="D6">
        <f t="shared" si="0"/>
        <v>2</v>
      </c>
      <c r="E6" t="s">
        <v>25</v>
      </c>
      <c r="G6">
        <v>4</v>
      </c>
      <c r="H6" t="s">
        <v>8</v>
      </c>
    </row>
    <row r="7" spans="1:8" x14ac:dyDescent="0.45">
      <c r="A7">
        <v>6</v>
      </c>
      <c r="B7">
        <v>2</v>
      </c>
      <c r="C7" s="2" t="s">
        <v>37</v>
      </c>
      <c r="D7">
        <f t="shared" si="0"/>
        <v>2</v>
      </c>
      <c r="E7" t="s">
        <v>31</v>
      </c>
      <c r="G7">
        <v>5</v>
      </c>
      <c r="H7" t="s">
        <v>9</v>
      </c>
    </row>
    <row r="8" spans="1:8" x14ac:dyDescent="0.45">
      <c r="A8">
        <v>7</v>
      </c>
      <c r="B8">
        <v>1</v>
      </c>
      <c r="C8" s="2" t="s">
        <v>37</v>
      </c>
      <c r="D8">
        <f t="shared" si="0"/>
        <v>1</v>
      </c>
      <c r="E8" t="s">
        <v>26</v>
      </c>
      <c r="G8">
        <v>6</v>
      </c>
      <c r="H8" t="s">
        <v>10</v>
      </c>
    </row>
    <row r="9" spans="1:8" x14ac:dyDescent="0.45">
      <c r="A9">
        <v>8</v>
      </c>
      <c r="B9">
        <v>1</v>
      </c>
      <c r="C9" s="2" t="s">
        <v>37</v>
      </c>
      <c r="D9">
        <f t="shared" si="0"/>
        <v>1</v>
      </c>
      <c r="E9" t="s">
        <v>27</v>
      </c>
      <c r="G9">
        <v>8</v>
      </c>
      <c r="H9" t="s">
        <v>12</v>
      </c>
    </row>
    <row r="10" spans="1:8" x14ac:dyDescent="0.45">
      <c r="A10">
        <v>9</v>
      </c>
      <c r="B10">
        <v>1</v>
      </c>
      <c r="C10" s="2"/>
      <c r="D10">
        <f t="shared" si="0"/>
        <v>0</v>
      </c>
      <c r="E10" t="s">
        <v>28</v>
      </c>
      <c r="G10">
        <v>9</v>
      </c>
      <c r="H10" t="s">
        <v>13</v>
      </c>
    </row>
    <row r="11" spans="1:8" x14ac:dyDescent="0.45">
      <c r="A11">
        <v>10</v>
      </c>
      <c r="B11">
        <v>1</v>
      </c>
      <c r="C11" s="2" t="s">
        <v>37</v>
      </c>
      <c r="D11">
        <f>IF(C11&lt;&gt;"",B11,0)</f>
        <v>1</v>
      </c>
      <c r="E11" t="s">
        <v>32</v>
      </c>
      <c r="G11">
        <v>7</v>
      </c>
      <c r="H11" t="s">
        <v>11</v>
      </c>
    </row>
    <row r="12" spans="1:8" x14ac:dyDescent="0.45">
      <c r="A12">
        <v>11</v>
      </c>
      <c r="B12">
        <v>1</v>
      </c>
      <c r="C12" s="2" t="s">
        <v>37</v>
      </c>
      <c r="D12">
        <f>IF(C12&lt;&gt;"",B12,0)</f>
        <v>1</v>
      </c>
      <c r="E12" t="s">
        <v>33</v>
      </c>
      <c r="G12">
        <v>7</v>
      </c>
      <c r="H12" t="s">
        <v>11</v>
      </c>
    </row>
    <row r="13" spans="1:8" x14ac:dyDescent="0.45">
      <c r="A13">
        <v>12</v>
      </c>
      <c r="B13">
        <v>1</v>
      </c>
      <c r="C13" s="2"/>
      <c r="D13">
        <f>IF(C13&lt;&gt;"",B13,0)</f>
        <v>0</v>
      </c>
      <c r="E13" t="s">
        <v>34</v>
      </c>
      <c r="G13">
        <v>7</v>
      </c>
      <c r="H13" t="s">
        <v>11</v>
      </c>
    </row>
    <row r="14" spans="1:8" x14ac:dyDescent="0.45">
      <c r="A14">
        <v>13</v>
      </c>
      <c r="B14">
        <v>-1</v>
      </c>
      <c r="C14" s="2"/>
      <c r="D14">
        <f t="shared" ref="D14:D15" si="1">IF(C14&lt;&gt;"",B14,0)</f>
        <v>0</v>
      </c>
      <c r="E14" t="s">
        <v>35</v>
      </c>
      <c r="G14">
        <v>10</v>
      </c>
      <c r="H14" t="s">
        <v>14</v>
      </c>
    </row>
    <row r="15" spans="1:8" x14ac:dyDescent="0.45">
      <c r="A15">
        <v>14</v>
      </c>
      <c r="B15">
        <v>-3</v>
      </c>
      <c r="C15" s="2"/>
      <c r="D15">
        <f t="shared" si="1"/>
        <v>0</v>
      </c>
      <c r="E15" t="s">
        <v>29</v>
      </c>
      <c r="G15">
        <v>10</v>
      </c>
      <c r="H15" t="s">
        <v>14</v>
      </c>
    </row>
    <row r="16" spans="1:8" x14ac:dyDescent="0.45">
      <c r="A16">
        <v>15</v>
      </c>
      <c r="B16">
        <v>-1</v>
      </c>
      <c r="C16" s="2"/>
      <c r="D16">
        <f t="shared" si="0"/>
        <v>0</v>
      </c>
      <c r="E16" t="s">
        <v>36</v>
      </c>
      <c r="G16">
        <v>10</v>
      </c>
      <c r="H16" t="s">
        <v>14</v>
      </c>
    </row>
    <row r="17" spans="1:8" x14ac:dyDescent="0.45">
      <c r="C17">
        <f>IF(SUM(D2:D16)&gt;=14,14,IF(SUM(D2:D16)&lt;0,0,SUM(D2:D16)))</f>
        <v>14</v>
      </c>
      <c r="G17">
        <v>11</v>
      </c>
      <c r="H17" t="s">
        <v>15</v>
      </c>
    </row>
    <row r="18" spans="1:8" x14ac:dyDescent="0.45">
      <c r="C18" t="str">
        <f>VLOOKUP(C17,G2:H20,2)</f>
        <v>5A</v>
      </c>
      <c r="G18">
        <v>12</v>
      </c>
      <c r="H18" t="s">
        <v>16</v>
      </c>
    </row>
    <row r="19" spans="1:8" x14ac:dyDescent="0.45">
      <c r="G19">
        <v>13</v>
      </c>
      <c r="H19" t="s">
        <v>17</v>
      </c>
    </row>
    <row r="20" spans="1:8" x14ac:dyDescent="0.45">
      <c r="A20" t="s">
        <v>19</v>
      </c>
      <c r="C20" t="s">
        <v>20</v>
      </c>
      <c r="E20" t="s">
        <v>21</v>
      </c>
      <c r="G20">
        <v>14</v>
      </c>
      <c r="H20" t="s">
        <v>18</v>
      </c>
    </row>
    <row r="21" spans="1:8" x14ac:dyDescent="0.45">
      <c r="A21" s="4" t="s">
        <v>38</v>
      </c>
      <c r="B21" s="4"/>
      <c r="C21" s="3">
        <v>23</v>
      </c>
      <c r="D21" s="1"/>
      <c r="E21" s="1" t="s">
        <v>39</v>
      </c>
    </row>
  </sheetData>
  <mergeCells count="1">
    <mergeCell ref="A21:B21"/>
  </mergeCells>
  <phoneticPr fontId="1"/>
  <dataValidations count="1">
    <dataValidation type="list" allowBlank="1" showInputMessage="1" showErrorMessage="1" sqref="C2:C16" xr:uid="{00000000-0002-0000-0000-000000000000}">
      <formula1>"○"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CEB47DC33C449479A3231A4E41D3111" ma:contentTypeVersion="11" ma:contentTypeDescription="新しいドキュメントを作成します。" ma:contentTypeScope="" ma:versionID="3431cedcba9bd348f8804b17c46b5b7a">
  <xsd:schema xmlns:xsd="http://www.w3.org/2001/XMLSchema" xmlns:xs="http://www.w3.org/2001/XMLSchema" xmlns:p="http://schemas.microsoft.com/office/2006/metadata/properties" xmlns:ns2="c777dbf4-bb0e-4cc3-9261-feda1fade81f" xmlns:ns3="95b53ffd-1474-471f-879d-852933f35901" targetNamespace="http://schemas.microsoft.com/office/2006/metadata/properties" ma:root="true" ma:fieldsID="a178ee770d97c48cfe7050b9a3de0a12" ns2:_="" ns3:_="">
    <xsd:import namespace="c777dbf4-bb0e-4cc3-9261-feda1fade81f"/>
    <xsd:import namespace="95b53ffd-1474-471f-879d-852933f359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7dbf4-bb0e-4cc3-9261-feda1fade81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a86adb34-9094-409a-90b9-a7c5bc646e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b53ffd-1474-471f-879d-852933f3590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96d5358-be63-4357-8665-2cba3500db34}" ma:internalName="TaxCatchAll" ma:showField="CatchAllData" ma:web="95b53ffd-1474-471f-879d-852933f359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b53ffd-1474-471f-879d-852933f35901" xsi:nil="true"/>
    <ReferenceId xmlns="c777dbf4-bb0e-4cc3-9261-feda1fade81f" xsi:nil="true"/>
    <lcf76f155ced4ddcb4097134ff3c332f xmlns="c777dbf4-bb0e-4cc3-9261-feda1fade81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A0FE5E-AB4D-4C3F-9195-66A6950B1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77dbf4-bb0e-4cc3-9261-feda1fade81f"/>
    <ds:schemaRef ds:uri="95b53ffd-1474-471f-879d-852933f359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B654EB-CA43-45BE-8971-5BC65B7524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CA9A1F-5B2C-4607-AC6D-D3D1FC226E2B}">
  <ds:schemaRefs>
    <ds:schemaRef ds:uri="http://schemas.microsoft.com/office/2006/metadata/properties"/>
    <ds:schemaRef ds:uri="http://schemas.microsoft.com/office/infopath/2007/PartnerControls"/>
    <ds:schemaRef ds:uri="95b53ffd-1474-471f-879d-852933f35901"/>
    <ds:schemaRef ds:uri="c777dbf4-bb0e-4cc3-9261-feda1fade8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No06チェック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2015-06-05T18:19:34Z</dcterms:created>
  <dcterms:modified xsi:type="dcterms:W3CDTF">2025-09-08T08:03:52Z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0x0101006CEB47DC33C449479A3231A4E41D3111</vt:lpwstr>
  </property>
  <property fmtid="{D5CDD505-2E9C-101B-9397-08002B2CF9AE}" pid="3" name="Order">
    <vt:r8>7400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